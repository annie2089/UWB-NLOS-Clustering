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d19\Documents\uwb clustering\"/>
    </mc:Choice>
  </mc:AlternateContent>
  <xr:revisionPtr revIDLastSave="0" documentId="13_ncr:1_{177EB279-D696-4AA7-925D-FDED82ACAB4E}" xr6:coauthVersionLast="47" xr6:coauthVersionMax="47" xr10:uidLastSave="{00000000-0000-0000-0000-000000000000}"/>
  <bookViews>
    <workbookView xWindow="-110" yWindow="-110" windowWidth="19420" windowHeight="10300" xr2:uid="{4C565596-5B20-49D2-A2FB-2AAF32933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L10" i="1"/>
  <c r="M10" i="1"/>
  <c r="N10" i="1"/>
  <c r="O10" i="1"/>
  <c r="P10" i="1"/>
  <c r="Q10" i="1"/>
  <c r="K11" i="1"/>
  <c r="L11" i="1"/>
  <c r="M11" i="1"/>
  <c r="N11" i="1"/>
  <c r="O11" i="1"/>
  <c r="P11" i="1"/>
  <c r="Q11" i="1"/>
  <c r="J11" i="1"/>
  <c r="J10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2" i="1"/>
  <c r="Q2" i="1"/>
  <c r="K2" i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O2" i="1"/>
  <c r="N2" i="1"/>
  <c r="M2" i="1"/>
  <c r="L2" i="1"/>
  <c r="J2" i="1"/>
  <c r="K3" i="1"/>
  <c r="K4" i="1"/>
  <c r="K5" i="1"/>
  <c r="K6" i="1"/>
  <c r="K7" i="1"/>
  <c r="K8" i="1"/>
  <c r="K9" i="1"/>
  <c r="J3" i="1"/>
  <c r="J4" i="1"/>
  <c r="J5" i="1"/>
  <c r="J6" i="1"/>
  <c r="J7" i="1"/>
  <c r="J8" i="1"/>
  <c r="J9" i="1"/>
</calcChain>
</file>

<file path=xl/sharedStrings.xml><?xml version="1.0" encoding="utf-8"?>
<sst xmlns="http://schemas.openxmlformats.org/spreadsheetml/2006/main" count="211" uniqueCount="26">
  <si>
    <t>Combined</t>
  </si>
  <si>
    <t>File</t>
  </si>
  <si>
    <t>ARI</t>
  </si>
  <si>
    <t>Silhouette</t>
  </si>
  <si>
    <t>F1</t>
  </si>
  <si>
    <t>Accuracy</t>
  </si>
  <si>
    <t>uwb_dataset_part1</t>
  </si>
  <si>
    <t>GMM</t>
  </si>
  <si>
    <t>uwb_dataset_part2</t>
  </si>
  <si>
    <t>uwb_dataset_part3</t>
  </si>
  <si>
    <t>uwb_dataset_part4</t>
  </si>
  <si>
    <t>uwb_dataset_part5</t>
  </si>
  <si>
    <t>uwb_dataset_part6</t>
  </si>
  <si>
    <t>uwb_dataset_part7</t>
  </si>
  <si>
    <t>KMeans</t>
  </si>
  <si>
    <t>Bedroom</t>
  </si>
  <si>
    <t>Best Clustering Algorithm</t>
  </si>
  <si>
    <t>Office 1</t>
  </si>
  <si>
    <t>Office 2</t>
  </si>
  <si>
    <t>Small Apartment</t>
  </si>
  <si>
    <t>Small Workshop</t>
  </si>
  <si>
    <t>Kitchen w/ Living Room</t>
  </si>
  <si>
    <t>Boiler Room</t>
  </si>
  <si>
    <t>Train/Test</t>
  </si>
  <si>
    <t>Mean</t>
  </si>
  <si>
    <t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</si>
</sst>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0" borderId="0" xfId="0" applyNumberFormat="1" applyFill="1"/>
    <xf numFmtId="2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558B-4696-4DF0-9FDF-27552A3953F2}">
  <dimension ref="A1:Q122"/>
  <sheetViews>
    <sheetView tabSelected="1" zoomScaleNormal="100" workbookViewId="0">
      <selection activeCell="I8" sqref="I8"/>
    </sheetView>
  </sheetViews>
  <sheetFormatPr defaultRowHeight="14.5" x14ac:dyDescent="0.35"/>
  <cols>
    <col min="1" max="1" width="17.26953125" bestFit="1" customWidth="1"/>
    <col min="4" max="4" width="8.7265625" style="3"/>
    <col min="5" max="7" width="8.7265625" style="1"/>
  </cols>
  <sheetData>
    <row r="1" spans="1:17" x14ac:dyDescent="0.35">
      <c r="A1" t="s">
        <v>0</v>
      </c>
      <c r="B1" t="s">
        <v>1</v>
      </c>
      <c r="C1" t="s">
        <v>16</v>
      </c>
      <c r="D1" s="3" t="s">
        <v>2</v>
      </c>
      <c r="E1" s="1" t="s">
        <v>3</v>
      </c>
      <c r="F1" s="1" t="s">
        <v>4</v>
      </c>
      <c r="G1" s="1" t="s">
        <v>5</v>
      </c>
      <c r="I1" s="4" t="s">
        <v>23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15</v>
      </c>
      <c r="P1" s="5" t="s">
        <v>22</v>
      </c>
      <c r="Q1" s="5" t="s">
        <v>0</v>
      </c>
    </row>
    <row r="2" spans="1:17" x14ac:dyDescent="0.35">
      <c r="A2" t="s">
        <v>17</v>
      </c>
      <c r="B2" t="s">
        <v>6</v>
      </c>
      <c r="C2" t="s">
        <v>7</v>
      </c>
      <c r="D2" s="3">
        <v>2.4603794479519301E-2</v>
      </c>
      <c r="E2" s="1">
        <v>0.20859343076484901</v>
      </c>
      <c r="F2" s="1">
        <v>0.55253337266760005</v>
      </c>
      <c r="G2" s="1">
        <v>0.578666666666666</v>
      </c>
      <c r="I2" s="5" t="s">
        <v>17</v>
      </c>
      <c r="J2" s="4">
        <f>F12</f>
        <v>0.82267664782458105</v>
      </c>
      <c r="K2" s="4">
        <f>F22</f>
        <v>0.83812444421403298</v>
      </c>
      <c r="L2" s="4">
        <f>F32</f>
        <v>0.80914257725080796</v>
      </c>
      <c r="M2" s="4">
        <f>F42</f>
        <v>0.79011948270268395</v>
      </c>
      <c r="N2" s="4">
        <f>F52</f>
        <v>0.79707119854450703</v>
      </c>
      <c r="O2" s="4">
        <f>F62</f>
        <v>0.817954911578745</v>
      </c>
      <c r="P2" s="4">
        <f>F72</f>
        <v>0.812670156888883</v>
      </c>
      <c r="Q2" s="4">
        <f>F2</f>
        <v>0.55253337266760005</v>
      </c>
    </row>
    <row r="3" spans="1:17" x14ac:dyDescent="0.35">
      <c r="A3" t="s">
        <v>18</v>
      </c>
      <c r="B3" t="s">
        <v>8</v>
      </c>
      <c r="C3" t="s">
        <v>7</v>
      </c>
      <c r="D3" s="3">
        <v>0.42457419681181202</v>
      </c>
      <c r="E3" s="1">
        <v>0.18753705567696</v>
      </c>
      <c r="F3" s="1">
        <v>0.82549292334839197</v>
      </c>
      <c r="G3" s="1">
        <v>0.82583333333333298</v>
      </c>
      <c r="I3" s="5" t="s">
        <v>18</v>
      </c>
      <c r="J3" s="4">
        <f t="shared" ref="J3:J9" si="0">F13</f>
        <v>0.37742730529060697</v>
      </c>
      <c r="K3" s="4">
        <f t="shared" ref="K3:K9" si="1">F23</f>
        <v>0.82123642014472098</v>
      </c>
      <c r="L3" s="4">
        <f t="shared" ref="L3:L9" si="2">F33</f>
        <v>0.79995661791073003</v>
      </c>
      <c r="M3" s="4">
        <f t="shared" ref="M3:M9" si="3">F43</f>
        <v>0.51099268004762299</v>
      </c>
      <c r="N3" s="4">
        <f t="shared" ref="N3:N9" si="4">F53</f>
        <v>0.78512822812051597</v>
      </c>
      <c r="O3" s="4">
        <f t="shared" ref="O3:O9" si="5">F63</f>
        <v>0.80967220068937296</v>
      </c>
      <c r="P3" s="4">
        <f t="shared" ref="P3:P9" si="6">F73</f>
        <v>0.81317350191040205</v>
      </c>
      <c r="Q3" s="4">
        <f t="shared" ref="Q3:Q9" si="7">F3</f>
        <v>0.82549292334839197</v>
      </c>
    </row>
    <row r="4" spans="1:17" x14ac:dyDescent="0.35">
      <c r="A4" t="s">
        <v>19</v>
      </c>
      <c r="B4" t="s">
        <v>9</v>
      </c>
      <c r="C4" t="s">
        <v>7</v>
      </c>
      <c r="D4" s="3">
        <v>0.45418702905931901</v>
      </c>
      <c r="E4" s="1">
        <v>0.17236315128871099</v>
      </c>
      <c r="F4" s="1">
        <v>0.83608616214128895</v>
      </c>
      <c r="G4" s="1">
        <v>0.83699999999999997</v>
      </c>
      <c r="I4" s="5" t="s">
        <v>19</v>
      </c>
      <c r="J4" s="4">
        <f t="shared" si="0"/>
        <v>0.81787003829379601</v>
      </c>
      <c r="K4" s="4">
        <f t="shared" si="1"/>
        <v>0.44375756048279003</v>
      </c>
      <c r="L4" s="4">
        <f t="shared" si="2"/>
        <v>0.81304902599302498</v>
      </c>
      <c r="M4" s="4">
        <f t="shared" si="3"/>
        <v>0.51844340161208002</v>
      </c>
      <c r="N4" s="4">
        <f t="shared" si="4"/>
        <v>0.80063939509668902</v>
      </c>
      <c r="O4" s="4">
        <f t="shared" si="5"/>
        <v>0.37543176877809797</v>
      </c>
      <c r="P4" s="4">
        <f t="shared" si="6"/>
        <v>0.36765421620710997</v>
      </c>
      <c r="Q4" s="4">
        <f t="shared" si="7"/>
        <v>0.83608616214128895</v>
      </c>
    </row>
    <row r="5" spans="1:17" x14ac:dyDescent="0.35">
      <c r="A5" t="s">
        <v>20</v>
      </c>
      <c r="B5" t="s">
        <v>10</v>
      </c>
      <c r="C5" t="s">
        <v>7</v>
      </c>
      <c r="D5" s="3">
        <v>0.32363665187727902</v>
      </c>
      <c r="E5" s="1">
        <v>0.14586464980231101</v>
      </c>
      <c r="F5" s="1">
        <v>0.778202674896325</v>
      </c>
      <c r="G5" s="1">
        <v>0.78449999999999998</v>
      </c>
      <c r="I5" s="5" t="s">
        <v>20</v>
      </c>
      <c r="J5" s="4">
        <f t="shared" si="0"/>
        <v>0.81124836384406895</v>
      </c>
      <c r="K5" s="4">
        <f t="shared" si="1"/>
        <v>0.80945916770029203</v>
      </c>
      <c r="L5" s="4">
        <f t="shared" si="2"/>
        <v>0.80799408177905296</v>
      </c>
      <c r="M5" s="4">
        <f t="shared" si="3"/>
        <v>0.84965704471752801</v>
      </c>
      <c r="N5" s="4">
        <f t="shared" si="4"/>
        <v>0.81892866124570296</v>
      </c>
      <c r="O5" s="4">
        <f t="shared" si="5"/>
        <v>0.81903631694886703</v>
      </c>
      <c r="P5" s="4">
        <f t="shared" si="6"/>
        <v>0.80280832820241599</v>
      </c>
      <c r="Q5" s="4">
        <f t="shared" si="7"/>
        <v>0.778202674896325</v>
      </c>
    </row>
    <row r="6" spans="1:17" x14ac:dyDescent="0.35">
      <c r="A6" t="s">
        <v>21</v>
      </c>
      <c r="B6" t="s">
        <v>11</v>
      </c>
      <c r="C6" t="s">
        <v>7</v>
      </c>
      <c r="D6" s="3">
        <v>0.48618823772495801</v>
      </c>
      <c r="E6" s="1">
        <v>0.216811667670261</v>
      </c>
      <c r="F6" s="1">
        <v>0.84844782532643803</v>
      </c>
      <c r="G6" s="1">
        <v>0.84866666666666601</v>
      </c>
      <c r="I6" s="5" t="s">
        <v>21</v>
      </c>
      <c r="J6" s="4">
        <f t="shared" si="0"/>
        <v>0.81853460850846704</v>
      </c>
      <c r="K6" s="4">
        <f t="shared" si="1"/>
        <v>0.83159978198365403</v>
      </c>
      <c r="L6" s="4">
        <f t="shared" si="2"/>
        <v>0.81371011892686296</v>
      </c>
      <c r="M6" s="4">
        <f t="shared" si="3"/>
        <v>0.79353920767038399</v>
      </c>
      <c r="N6" s="4">
        <f t="shared" si="4"/>
        <v>0.82696123103949404</v>
      </c>
      <c r="O6" s="4">
        <f t="shared" si="5"/>
        <v>0.81931181213540805</v>
      </c>
      <c r="P6" s="4">
        <f t="shared" si="6"/>
        <v>0.819455518339269</v>
      </c>
      <c r="Q6" s="4">
        <f t="shared" si="7"/>
        <v>0.84844782532643803</v>
      </c>
    </row>
    <row r="7" spans="1:17" x14ac:dyDescent="0.35">
      <c r="A7" t="s">
        <v>15</v>
      </c>
      <c r="B7" t="s">
        <v>12</v>
      </c>
      <c r="C7" t="s">
        <v>7</v>
      </c>
      <c r="D7" s="3">
        <v>0.45823930604826701</v>
      </c>
      <c r="E7" s="1">
        <v>0.18329191348472901</v>
      </c>
      <c r="F7" s="1">
        <v>0.83821687503733899</v>
      </c>
      <c r="G7" s="1">
        <v>0.83850000000000002</v>
      </c>
      <c r="I7" s="5" t="s">
        <v>15</v>
      </c>
      <c r="J7" s="4">
        <f t="shared" si="0"/>
        <v>0.80959723959360297</v>
      </c>
      <c r="K7" s="4">
        <f t="shared" si="1"/>
        <v>0.83066266561107405</v>
      </c>
      <c r="L7" s="4">
        <f t="shared" si="2"/>
        <v>0.80670576799835803</v>
      </c>
      <c r="M7" s="4">
        <f t="shared" si="3"/>
        <v>0.52393961931494304</v>
      </c>
      <c r="N7" s="4">
        <f t="shared" si="4"/>
        <v>0.81425311895722496</v>
      </c>
      <c r="O7" s="4">
        <f t="shared" si="5"/>
        <v>0.81335924017379402</v>
      </c>
      <c r="P7" s="4">
        <f t="shared" si="6"/>
        <v>0.80094207369737702</v>
      </c>
      <c r="Q7" s="4">
        <f t="shared" si="7"/>
        <v>0.83821687503733899</v>
      </c>
    </row>
    <row r="8" spans="1:17" x14ac:dyDescent="0.35">
      <c r="A8" t="s">
        <v>22</v>
      </c>
      <c r="B8" t="s">
        <v>13</v>
      </c>
      <c r="C8" t="s">
        <v>7</v>
      </c>
      <c r="D8" s="3">
        <v>0.41035068956208098</v>
      </c>
      <c r="E8" s="1">
        <v>0.25912787733800502</v>
      </c>
      <c r="F8" s="1">
        <v>0.81737224753887305</v>
      </c>
      <c r="G8" s="1">
        <v>0.82033333333333303</v>
      </c>
      <c r="I8" s="5" t="s">
        <v>22</v>
      </c>
      <c r="J8" s="4">
        <f t="shared" si="0"/>
        <v>0.82131419379953496</v>
      </c>
      <c r="K8" s="4">
        <f t="shared" si="1"/>
        <v>0.838364910353674</v>
      </c>
      <c r="L8" s="4">
        <f t="shared" si="2"/>
        <v>0.82046925373625601</v>
      </c>
      <c r="M8" s="4">
        <f t="shared" si="3"/>
        <v>0.53437150505505204</v>
      </c>
      <c r="N8" s="4">
        <f t="shared" si="4"/>
        <v>0.80339999782313298</v>
      </c>
      <c r="O8" s="4">
        <f t="shared" si="5"/>
        <v>0.82488106083611701</v>
      </c>
      <c r="P8" s="4">
        <f t="shared" si="6"/>
        <v>0.82505460027964805</v>
      </c>
      <c r="Q8" s="4">
        <f t="shared" si="7"/>
        <v>0.81737224753887305</v>
      </c>
    </row>
    <row r="9" spans="1:17" x14ac:dyDescent="0.35">
      <c r="A9" t="s">
        <v>0</v>
      </c>
      <c r="B9" t="s">
        <v>0</v>
      </c>
      <c r="C9" t="s">
        <v>7</v>
      </c>
      <c r="D9" s="3">
        <v>0.48010464058885099</v>
      </c>
      <c r="E9" s="1">
        <v>0.20233752228167801</v>
      </c>
      <c r="F9" s="1">
        <v>0.84642051364427795</v>
      </c>
      <c r="G9" s="1">
        <v>0.84645238095238096</v>
      </c>
      <c r="I9" s="5" t="s">
        <v>0</v>
      </c>
      <c r="J9" s="4">
        <f t="shared" si="0"/>
        <v>0.37259251530326398</v>
      </c>
      <c r="K9" s="4">
        <f t="shared" si="1"/>
        <v>0.83104186602632502</v>
      </c>
      <c r="L9" s="4">
        <f t="shared" si="2"/>
        <v>0.36744126541540101</v>
      </c>
      <c r="M9" s="4">
        <f t="shared" si="3"/>
        <v>0.523591336160801</v>
      </c>
      <c r="N9" s="4">
        <f t="shared" si="4"/>
        <v>0.81676033507740398</v>
      </c>
      <c r="O9" s="4">
        <f t="shared" si="5"/>
        <v>0.81722703596787305</v>
      </c>
      <c r="P9" s="4">
        <f t="shared" si="6"/>
        <v>0.81679158975535504</v>
      </c>
      <c r="Q9" s="4">
        <f t="shared" si="7"/>
        <v>0.84642051364427795</v>
      </c>
    </row>
    <row r="10" spans="1:17" x14ac:dyDescent="0.35">
      <c r="I10" s="5" t="s">
        <v>24</v>
      </c>
      <c r="J10" s="4">
        <f>AVERAGE(J2:J9)</f>
        <v>0.70640761405724017</v>
      </c>
      <c r="K10" s="4">
        <f t="shared" ref="K10:Q10" si="8">AVERAGE(K2:K9)</f>
        <v>0.7805308520645704</v>
      </c>
      <c r="L10" s="4">
        <f t="shared" si="8"/>
        <v>0.75480858862631173</v>
      </c>
      <c r="M10" s="4">
        <f t="shared" si="8"/>
        <v>0.63058178466013692</v>
      </c>
      <c r="N10" s="4">
        <f t="shared" si="8"/>
        <v>0.80789277073808385</v>
      </c>
      <c r="O10" s="4">
        <f t="shared" si="8"/>
        <v>0.76210929338853439</v>
      </c>
      <c r="P10" s="4">
        <f t="shared" si="8"/>
        <v>0.75731874816005751</v>
      </c>
      <c r="Q10" s="4">
        <f t="shared" si="8"/>
        <v>0.79284657432506678</v>
      </c>
    </row>
    <row r="11" spans="1:17" x14ac:dyDescent="0.35">
      <c r="A11" t="s">
        <v>6</v>
      </c>
      <c r="B11" t="s">
        <v>1</v>
      </c>
      <c r="C11" t="s">
        <v>16</v>
      </c>
      <c r="D11" s="3" t="s">
        <v>2</v>
      </c>
      <c r="E11" s="1" t="s">
        <v>3</v>
      </c>
      <c r="F11" s="1" t="s">
        <v>4</v>
      </c>
      <c r="G11" s="1" t="s">
        <v>5</v>
      </c>
      <c r="I11" s="5" t="s">
        <v>25</v>
      </c>
      <c r="J11" s="4">
        <f>_xlfn.STDEV.P(J2:J9)</f>
        <v>0.19138266331134052</v>
      </c>
      <c r="K11" s="4">
        <f t="shared" ref="K11:Q11" si="9">_xlfn.STDEV.P(K2:K9)</f>
        <v>0.12759527697956061</v>
      </c>
      <c r="L11" s="4">
        <f t="shared" si="9"/>
        <v>0.14651733925864688</v>
      </c>
      <c r="M11" s="4">
        <f t="shared" si="9"/>
        <v>0.14095826717330817</v>
      </c>
      <c r="N11" s="4">
        <f t="shared" si="9"/>
        <v>1.2809235322276671E-2</v>
      </c>
      <c r="O11" s="4">
        <f t="shared" si="9"/>
        <v>0.14620965375286532</v>
      </c>
      <c r="P11" s="4">
        <f t="shared" si="9"/>
        <v>0.14747051341214878</v>
      </c>
      <c r="Q11" s="4">
        <f t="shared" si="9"/>
        <v>9.3221486029789996E-2</v>
      </c>
    </row>
    <row r="12" spans="1:17" x14ac:dyDescent="0.35">
      <c r="A12">
        <v>0</v>
      </c>
      <c r="B12" t="s">
        <v>6</v>
      </c>
      <c r="C12" t="s">
        <v>14</v>
      </c>
      <c r="D12" s="3">
        <v>0.42283880980359301</v>
      </c>
      <c r="E12" s="1">
        <v>0.25142069639303799</v>
      </c>
      <c r="F12" s="1">
        <v>0.82267664782458105</v>
      </c>
      <c r="G12" s="1">
        <v>0.82516666666666605</v>
      </c>
    </row>
    <row r="13" spans="1:17" x14ac:dyDescent="0.35">
      <c r="A13">
        <v>1</v>
      </c>
      <c r="B13" t="s">
        <v>8</v>
      </c>
      <c r="C13" t="s">
        <v>14</v>
      </c>
      <c r="D13" s="3">
        <v>2.0089580430041401E-3</v>
      </c>
      <c r="E13" s="1">
        <v>0.62149265358677297</v>
      </c>
      <c r="F13" s="1">
        <v>0.37742730529060697</v>
      </c>
      <c r="G13" s="1">
        <v>0.52266666666666595</v>
      </c>
    </row>
    <row r="14" spans="1:17" x14ac:dyDescent="0.35">
      <c r="A14">
        <v>2</v>
      </c>
      <c r="B14" t="s">
        <v>9</v>
      </c>
      <c r="C14" t="s">
        <v>14</v>
      </c>
      <c r="D14" s="3">
        <v>0.41078809354097601</v>
      </c>
      <c r="E14" s="1">
        <v>0.25899215735488701</v>
      </c>
      <c r="F14" s="1">
        <v>0.81787003829379601</v>
      </c>
      <c r="G14" s="1">
        <v>0.82050000000000001</v>
      </c>
    </row>
    <row r="15" spans="1:17" x14ac:dyDescent="0.35">
      <c r="A15">
        <v>3</v>
      </c>
      <c r="B15" t="s">
        <v>10</v>
      </c>
      <c r="C15" t="s">
        <v>14</v>
      </c>
      <c r="D15" s="3">
        <v>0.39177005637058399</v>
      </c>
      <c r="E15" s="1">
        <v>0.25181288688348302</v>
      </c>
      <c r="F15" s="1">
        <v>0.81124836384406895</v>
      </c>
      <c r="G15" s="1">
        <v>0.81299999999999994</v>
      </c>
    </row>
    <row r="16" spans="1:17" x14ac:dyDescent="0.35">
      <c r="A16">
        <v>4</v>
      </c>
      <c r="B16" t="s">
        <v>11</v>
      </c>
      <c r="C16" t="s">
        <v>14</v>
      </c>
      <c r="D16" s="3">
        <v>0.41335282498263398</v>
      </c>
      <c r="E16" s="1">
        <v>0.257887266423109</v>
      </c>
      <c r="F16" s="1">
        <v>0.81853460850846704</v>
      </c>
      <c r="G16" s="1">
        <v>0.82150000000000001</v>
      </c>
    </row>
    <row r="17" spans="1:7" x14ac:dyDescent="0.35">
      <c r="A17">
        <v>5</v>
      </c>
      <c r="B17" t="s">
        <v>12</v>
      </c>
      <c r="C17" t="s">
        <v>14</v>
      </c>
      <c r="D17" s="3">
        <v>0.38969496295671802</v>
      </c>
      <c r="E17" s="1">
        <v>0.25172939916791098</v>
      </c>
      <c r="F17" s="1">
        <v>0.80959723959360297</v>
      </c>
      <c r="G17" s="1">
        <v>0.81216666666666604</v>
      </c>
    </row>
    <row r="18" spans="1:7" x14ac:dyDescent="0.35">
      <c r="A18">
        <v>6</v>
      </c>
      <c r="B18" t="s">
        <v>13</v>
      </c>
      <c r="C18" t="s">
        <v>14</v>
      </c>
      <c r="D18" s="3">
        <v>0.416355489922832</v>
      </c>
      <c r="E18" s="1">
        <v>0.25346990440264</v>
      </c>
      <c r="F18" s="1">
        <v>0.82131419379953496</v>
      </c>
      <c r="G18" s="1">
        <v>0.82266666666666599</v>
      </c>
    </row>
    <row r="19" spans="1:7" x14ac:dyDescent="0.35">
      <c r="A19">
        <v>7</v>
      </c>
      <c r="B19" t="s">
        <v>0</v>
      </c>
      <c r="C19" t="s">
        <v>14</v>
      </c>
      <c r="D19" s="3">
        <v>1.30803002132976E-3</v>
      </c>
      <c r="E19" s="1">
        <v>0.62977132616734699</v>
      </c>
      <c r="F19" s="1">
        <v>0.37259251530326398</v>
      </c>
      <c r="G19" s="1">
        <v>0.51809523809523805</v>
      </c>
    </row>
    <row r="21" spans="1:7" x14ac:dyDescent="0.35">
      <c r="A21" t="s">
        <v>8</v>
      </c>
      <c r="B21" t="s">
        <v>1</v>
      </c>
      <c r="C21" t="s">
        <v>16</v>
      </c>
      <c r="D21" s="3" t="s">
        <v>2</v>
      </c>
      <c r="E21" s="1" t="s">
        <v>3</v>
      </c>
      <c r="F21" s="1" t="s">
        <v>4</v>
      </c>
      <c r="G21" s="1" t="s">
        <v>5</v>
      </c>
    </row>
    <row r="22" spans="1:7" x14ac:dyDescent="0.35">
      <c r="A22">
        <v>0</v>
      </c>
      <c r="B22" t="s">
        <v>6</v>
      </c>
      <c r="C22" t="s">
        <v>7</v>
      </c>
      <c r="D22" s="3">
        <v>0.45823891202311101</v>
      </c>
      <c r="E22" s="1">
        <v>0.202377660765652</v>
      </c>
      <c r="F22" s="1">
        <v>0.83812444421403298</v>
      </c>
      <c r="G22" s="1">
        <v>0.83850000000000002</v>
      </c>
    </row>
    <row r="23" spans="1:7" x14ac:dyDescent="0.35">
      <c r="A23">
        <v>1</v>
      </c>
      <c r="B23" t="s">
        <v>8</v>
      </c>
      <c r="C23" t="s">
        <v>7</v>
      </c>
      <c r="D23" s="3">
        <v>0.41549941564542198</v>
      </c>
      <c r="E23" s="1">
        <v>0.20842799373850601</v>
      </c>
      <c r="F23" s="1">
        <v>0.82123642014472098</v>
      </c>
      <c r="G23" s="1">
        <v>0.82233333333333303</v>
      </c>
    </row>
    <row r="24" spans="1:7" x14ac:dyDescent="0.35">
      <c r="A24">
        <v>2</v>
      </c>
      <c r="B24" t="s">
        <v>9</v>
      </c>
      <c r="C24" t="s">
        <v>7</v>
      </c>
      <c r="D24" s="3">
        <v>3.9039297810327402E-3</v>
      </c>
      <c r="E24" s="1">
        <v>0.18931643225519701</v>
      </c>
      <c r="F24" s="1">
        <v>0.44375756048279003</v>
      </c>
      <c r="G24" s="1">
        <v>0.53149999999999997</v>
      </c>
    </row>
    <row r="25" spans="1:7" x14ac:dyDescent="0.35">
      <c r="A25">
        <v>3</v>
      </c>
      <c r="B25" t="s">
        <v>10</v>
      </c>
      <c r="C25" t="s">
        <v>7</v>
      </c>
      <c r="D25" s="3">
        <v>0.38347029713290398</v>
      </c>
      <c r="E25" s="1">
        <v>0.20581000318971601</v>
      </c>
      <c r="F25" s="1">
        <v>0.80945916770029203</v>
      </c>
      <c r="G25" s="1">
        <v>0.80966666666666598</v>
      </c>
    </row>
    <row r="26" spans="1:7" x14ac:dyDescent="0.35">
      <c r="A26">
        <v>4</v>
      </c>
      <c r="B26" t="s">
        <v>11</v>
      </c>
      <c r="C26" t="s">
        <v>7</v>
      </c>
      <c r="D26" s="3">
        <v>0.441689095062273</v>
      </c>
      <c r="E26" s="1">
        <v>0.204997908836412</v>
      </c>
      <c r="F26" s="1">
        <v>0.83159978198365403</v>
      </c>
      <c r="G26" s="1">
        <v>0.83233333333333304</v>
      </c>
    </row>
    <row r="27" spans="1:7" x14ac:dyDescent="0.35">
      <c r="A27">
        <v>5</v>
      </c>
      <c r="B27" t="s">
        <v>12</v>
      </c>
      <c r="C27" t="s">
        <v>7</v>
      </c>
      <c r="D27" s="3">
        <v>0.43991956081416</v>
      </c>
      <c r="E27" s="1">
        <v>0.205398965852266</v>
      </c>
      <c r="F27" s="1">
        <v>0.83066266561107405</v>
      </c>
      <c r="G27" s="1">
        <v>0.831666666666666</v>
      </c>
    </row>
    <row r="28" spans="1:7" x14ac:dyDescent="0.35">
      <c r="A28">
        <v>6</v>
      </c>
      <c r="B28" t="s">
        <v>13</v>
      </c>
      <c r="C28" t="s">
        <v>7</v>
      </c>
      <c r="D28" s="3">
        <v>0.45914104881325901</v>
      </c>
      <c r="E28" s="1">
        <v>0.20929068144111801</v>
      </c>
      <c r="F28" s="1">
        <v>0.838364910353674</v>
      </c>
      <c r="G28" s="1">
        <v>0.83883333333333299</v>
      </c>
    </row>
    <row r="29" spans="1:7" x14ac:dyDescent="0.35">
      <c r="A29">
        <v>7</v>
      </c>
      <c r="B29" t="s">
        <v>0</v>
      </c>
      <c r="C29" t="s">
        <v>7</v>
      </c>
      <c r="D29" s="3">
        <v>0.44157898140967899</v>
      </c>
      <c r="E29" s="1">
        <v>0.212523992847584</v>
      </c>
      <c r="F29" s="1">
        <v>0.83104186602632502</v>
      </c>
      <c r="G29" s="1">
        <v>0.83226190476190398</v>
      </c>
    </row>
    <row r="31" spans="1:7" x14ac:dyDescent="0.35">
      <c r="A31" t="s">
        <v>9</v>
      </c>
      <c r="B31" t="s">
        <v>1</v>
      </c>
      <c r="C31" t="s">
        <v>16</v>
      </c>
      <c r="D31" s="3" t="s">
        <v>2</v>
      </c>
      <c r="E31" s="1" t="s">
        <v>3</v>
      </c>
      <c r="F31" s="1" t="s">
        <v>4</v>
      </c>
      <c r="G31" s="1" t="s">
        <v>5</v>
      </c>
    </row>
    <row r="32" spans="1:7" x14ac:dyDescent="0.35">
      <c r="A32">
        <v>0</v>
      </c>
      <c r="B32" t="s">
        <v>6</v>
      </c>
      <c r="C32" t="s">
        <v>14</v>
      </c>
      <c r="D32" s="3">
        <v>0.38844406932483699</v>
      </c>
      <c r="E32" s="1">
        <v>0.246711522789165</v>
      </c>
      <c r="F32" s="1">
        <v>0.80914257725080796</v>
      </c>
      <c r="G32" s="1">
        <v>0.81166666666666598</v>
      </c>
    </row>
    <row r="33" spans="1:7" x14ac:dyDescent="0.35">
      <c r="A33">
        <v>1</v>
      </c>
      <c r="B33" t="s">
        <v>8</v>
      </c>
      <c r="C33" t="s">
        <v>14</v>
      </c>
      <c r="D33" s="3">
        <v>0.36551974397088799</v>
      </c>
      <c r="E33" s="1">
        <v>0.24228353748987899</v>
      </c>
      <c r="F33" s="1">
        <v>0.79995661791073003</v>
      </c>
      <c r="G33" s="1">
        <v>0.80233333333333301</v>
      </c>
    </row>
    <row r="34" spans="1:7" x14ac:dyDescent="0.35">
      <c r="A34">
        <v>2</v>
      </c>
      <c r="B34" t="s">
        <v>9</v>
      </c>
      <c r="C34" t="s">
        <v>14</v>
      </c>
      <c r="D34" s="3">
        <v>0.39806558232870098</v>
      </c>
      <c r="E34" s="1">
        <v>0.24419807556277001</v>
      </c>
      <c r="F34" s="1">
        <v>0.81304902599302498</v>
      </c>
      <c r="G34" s="1">
        <v>0.8155</v>
      </c>
    </row>
    <row r="35" spans="1:7" x14ac:dyDescent="0.35">
      <c r="A35">
        <v>3</v>
      </c>
      <c r="B35" t="s">
        <v>10</v>
      </c>
      <c r="C35" t="s">
        <v>14</v>
      </c>
      <c r="D35" s="3">
        <v>0.383466648627587</v>
      </c>
      <c r="E35" s="1">
        <v>0.23951243316589099</v>
      </c>
      <c r="F35" s="1">
        <v>0.80799408177905296</v>
      </c>
      <c r="G35" s="1">
        <v>0.80966666666666598</v>
      </c>
    </row>
    <row r="36" spans="1:7" x14ac:dyDescent="0.35">
      <c r="A36">
        <v>4</v>
      </c>
      <c r="B36" t="s">
        <v>11</v>
      </c>
      <c r="C36" t="s">
        <v>14</v>
      </c>
      <c r="D36" s="3">
        <v>0.39974670856545402</v>
      </c>
      <c r="E36" s="1">
        <v>0.24424272400333899</v>
      </c>
      <c r="F36" s="1">
        <v>0.81371011892686296</v>
      </c>
      <c r="G36" s="1">
        <v>0.81616666666666604</v>
      </c>
    </row>
    <row r="37" spans="1:7" x14ac:dyDescent="0.35">
      <c r="A37">
        <v>5</v>
      </c>
      <c r="B37" t="s">
        <v>12</v>
      </c>
      <c r="C37" t="s">
        <v>14</v>
      </c>
      <c r="D37" s="3">
        <v>0.38223750811174301</v>
      </c>
      <c r="E37" s="1">
        <v>0.24279084179089699</v>
      </c>
      <c r="F37" s="1">
        <v>0.80670576799835803</v>
      </c>
      <c r="G37" s="1">
        <v>0.80916666666666603</v>
      </c>
    </row>
    <row r="38" spans="1:7" x14ac:dyDescent="0.35">
      <c r="A38">
        <v>6</v>
      </c>
      <c r="B38" t="s">
        <v>13</v>
      </c>
      <c r="C38" t="s">
        <v>14</v>
      </c>
      <c r="D38" s="3">
        <v>0.41420678154845297</v>
      </c>
      <c r="E38" s="1">
        <v>0.24469915411132301</v>
      </c>
      <c r="F38" s="1">
        <v>0.82046925373625601</v>
      </c>
      <c r="G38" s="1">
        <v>0.82183333333333297</v>
      </c>
    </row>
    <row r="39" spans="1:7" x14ac:dyDescent="0.35">
      <c r="A39">
        <v>7</v>
      </c>
      <c r="B39" t="s">
        <v>0</v>
      </c>
      <c r="C39" t="s">
        <v>14</v>
      </c>
      <c r="D39" s="3">
        <v>9.5652993238519197E-4</v>
      </c>
      <c r="E39" s="1">
        <v>0.63674354386897603</v>
      </c>
      <c r="F39" s="1">
        <v>0.36744126541540101</v>
      </c>
      <c r="G39" s="1">
        <v>0.51547619047618998</v>
      </c>
    </row>
    <row r="41" spans="1:7" x14ac:dyDescent="0.35">
      <c r="A41" t="s">
        <v>10</v>
      </c>
      <c r="B41" t="s">
        <v>1</v>
      </c>
      <c r="C41" t="s">
        <v>16</v>
      </c>
      <c r="D41" s="3" t="s">
        <v>2</v>
      </c>
      <c r="E41" s="1" t="s">
        <v>3</v>
      </c>
      <c r="F41" s="1" t="s">
        <v>4</v>
      </c>
      <c r="G41" s="1" t="s">
        <v>5</v>
      </c>
    </row>
    <row r="42" spans="1:7" x14ac:dyDescent="0.35">
      <c r="A42">
        <v>0</v>
      </c>
      <c r="B42" t="s">
        <v>6</v>
      </c>
      <c r="C42" t="s">
        <v>7</v>
      </c>
      <c r="D42" s="3">
        <v>0.34211677168566501</v>
      </c>
      <c r="E42" s="1">
        <v>0.23020441693829899</v>
      </c>
      <c r="F42" s="1">
        <v>0.79011948270268395</v>
      </c>
      <c r="G42" s="1">
        <v>0.79249999999999998</v>
      </c>
    </row>
    <row r="43" spans="1:7" x14ac:dyDescent="0.35">
      <c r="A43">
        <v>1</v>
      </c>
      <c r="B43" t="s">
        <v>8</v>
      </c>
      <c r="C43" t="s">
        <v>7</v>
      </c>
      <c r="D43" s="3">
        <v>9.2197057207597192E-3</v>
      </c>
      <c r="E43" s="1">
        <v>0.21303473275257501</v>
      </c>
      <c r="F43" s="1">
        <v>0.51099268004762299</v>
      </c>
      <c r="G43" s="1">
        <v>0.54833333333333301</v>
      </c>
    </row>
    <row r="44" spans="1:7" x14ac:dyDescent="0.35">
      <c r="A44">
        <v>2</v>
      </c>
      <c r="B44" t="s">
        <v>9</v>
      </c>
      <c r="C44" t="s">
        <v>7</v>
      </c>
      <c r="D44" s="3">
        <v>1.1691178210212301E-2</v>
      </c>
      <c r="E44" s="1">
        <v>0.20526532720026999</v>
      </c>
      <c r="F44" s="1">
        <v>0.51844340161208002</v>
      </c>
      <c r="G44" s="1">
        <v>0.55433333333333301</v>
      </c>
    </row>
    <row r="45" spans="1:7" x14ac:dyDescent="0.35">
      <c r="A45">
        <v>3</v>
      </c>
      <c r="B45" t="s">
        <v>10</v>
      </c>
      <c r="C45" t="s">
        <v>7</v>
      </c>
      <c r="D45" s="3">
        <v>0.48898185376758602</v>
      </c>
      <c r="E45" s="1">
        <v>0.18803950469633099</v>
      </c>
      <c r="F45" s="1">
        <v>0.84965704471752801</v>
      </c>
      <c r="G45" s="1">
        <v>0.84966666666666602</v>
      </c>
    </row>
    <row r="46" spans="1:7" x14ac:dyDescent="0.35">
      <c r="A46">
        <v>4</v>
      </c>
      <c r="B46" t="s">
        <v>11</v>
      </c>
      <c r="C46" t="s">
        <v>7</v>
      </c>
      <c r="D46" s="3">
        <v>0.35114708687861101</v>
      </c>
      <c r="E46" s="1">
        <v>0.22863016520277701</v>
      </c>
      <c r="F46" s="1">
        <v>0.79353920767038399</v>
      </c>
      <c r="G46" s="1">
        <v>0.796333333333333</v>
      </c>
    </row>
    <row r="47" spans="1:7" x14ac:dyDescent="0.35">
      <c r="A47">
        <v>5</v>
      </c>
      <c r="B47" t="s">
        <v>12</v>
      </c>
      <c r="C47" t="s">
        <v>7</v>
      </c>
      <c r="D47" s="3">
        <v>1.3960638282824799E-2</v>
      </c>
      <c r="E47" s="1">
        <v>0.20321173099593801</v>
      </c>
      <c r="F47" s="1">
        <v>0.52393961931494304</v>
      </c>
      <c r="G47" s="1">
        <v>0.55933333333333302</v>
      </c>
    </row>
    <row r="48" spans="1:7" x14ac:dyDescent="0.35">
      <c r="A48">
        <v>6</v>
      </c>
      <c r="B48" t="s">
        <v>13</v>
      </c>
      <c r="C48" t="s">
        <v>7</v>
      </c>
      <c r="D48" s="3">
        <v>1.98739930027934E-2</v>
      </c>
      <c r="E48" s="1">
        <v>0.20940247509655299</v>
      </c>
      <c r="F48" s="1">
        <v>0.53437150505505204</v>
      </c>
      <c r="G48" s="1">
        <v>0.57083333333333297</v>
      </c>
    </row>
    <row r="49" spans="1:7" x14ac:dyDescent="0.35">
      <c r="A49">
        <v>7</v>
      </c>
      <c r="B49" t="s">
        <v>0</v>
      </c>
      <c r="C49" t="s">
        <v>7</v>
      </c>
      <c r="D49" s="3">
        <v>1.4065347378898601E-2</v>
      </c>
      <c r="E49" s="1">
        <v>0.20546779167138199</v>
      </c>
      <c r="F49" s="1">
        <v>0.523591336160801</v>
      </c>
      <c r="G49" s="1">
        <v>0.55933333333333302</v>
      </c>
    </row>
    <row r="51" spans="1:7" x14ac:dyDescent="0.35">
      <c r="A51" s="2" t="s">
        <v>11</v>
      </c>
      <c r="B51" t="s">
        <v>1</v>
      </c>
      <c r="C51" t="s">
        <v>16</v>
      </c>
      <c r="D51" s="3" t="s">
        <v>2</v>
      </c>
      <c r="E51" s="1" t="s">
        <v>3</v>
      </c>
      <c r="F51" s="1" t="s">
        <v>4</v>
      </c>
      <c r="G51" s="1" t="s">
        <v>5</v>
      </c>
    </row>
    <row r="52" spans="1:7" x14ac:dyDescent="0.35">
      <c r="A52">
        <v>0</v>
      </c>
      <c r="B52" t="s">
        <v>6</v>
      </c>
      <c r="C52" t="s">
        <v>7</v>
      </c>
      <c r="D52" s="3">
        <v>0.36794297621924599</v>
      </c>
      <c r="E52" s="1">
        <v>0.25743547400151001</v>
      </c>
      <c r="F52" s="1">
        <v>0.79707119854450703</v>
      </c>
      <c r="G52" s="1">
        <v>0.80333333333333301</v>
      </c>
    </row>
    <row r="53" spans="1:7" x14ac:dyDescent="0.35">
      <c r="A53">
        <v>1</v>
      </c>
      <c r="B53" t="s">
        <v>8</v>
      </c>
      <c r="C53" t="s">
        <v>7</v>
      </c>
      <c r="D53" s="3">
        <v>0.32936707397667297</v>
      </c>
      <c r="E53" s="1">
        <v>0.23931462187213901</v>
      </c>
      <c r="F53" s="1">
        <v>0.78512822812051597</v>
      </c>
      <c r="G53" s="1">
        <v>0.78700000000000003</v>
      </c>
    </row>
    <row r="54" spans="1:7" x14ac:dyDescent="0.35">
      <c r="A54">
        <v>2</v>
      </c>
      <c r="B54" t="s">
        <v>9</v>
      </c>
      <c r="C54" t="s">
        <v>7</v>
      </c>
      <c r="D54" s="3">
        <v>0.37526751642531497</v>
      </c>
      <c r="E54" s="1">
        <v>0.260890092922059</v>
      </c>
      <c r="F54" s="1">
        <v>0.80063939509668902</v>
      </c>
      <c r="G54" s="1">
        <v>0.80633333333333301</v>
      </c>
    </row>
    <row r="55" spans="1:7" x14ac:dyDescent="0.35">
      <c r="A55">
        <v>3</v>
      </c>
      <c r="B55" t="s">
        <v>10</v>
      </c>
      <c r="C55" t="s">
        <v>7</v>
      </c>
      <c r="D55" s="3">
        <v>0.413344690981575</v>
      </c>
      <c r="E55" s="1">
        <v>0.24632566292402</v>
      </c>
      <c r="F55" s="1">
        <v>0.81892866124570296</v>
      </c>
      <c r="G55" s="1">
        <v>0.82150000000000001</v>
      </c>
    </row>
    <row r="56" spans="1:7" x14ac:dyDescent="0.35">
      <c r="A56">
        <v>4</v>
      </c>
      <c r="B56" t="s">
        <v>11</v>
      </c>
      <c r="C56" t="s">
        <v>7</v>
      </c>
      <c r="D56" s="3">
        <v>0.43506752135964499</v>
      </c>
      <c r="E56" s="1">
        <v>0.24632833936410101</v>
      </c>
      <c r="F56" s="1">
        <v>0.82696123103949404</v>
      </c>
      <c r="G56" s="1">
        <v>0.82983333333333298</v>
      </c>
    </row>
    <row r="57" spans="1:7" x14ac:dyDescent="0.35">
      <c r="A57">
        <v>5</v>
      </c>
      <c r="B57" t="s">
        <v>12</v>
      </c>
      <c r="C57" t="s">
        <v>7</v>
      </c>
      <c r="D57" s="3">
        <v>0.403979197073628</v>
      </c>
      <c r="E57" s="1">
        <v>0.25196996520430298</v>
      </c>
      <c r="F57" s="1">
        <v>0.81425311895722496</v>
      </c>
      <c r="G57" s="1">
        <v>0.81783333333333297</v>
      </c>
    </row>
    <row r="58" spans="1:7" x14ac:dyDescent="0.35">
      <c r="A58">
        <v>6</v>
      </c>
      <c r="B58" t="s">
        <v>13</v>
      </c>
      <c r="C58" t="s">
        <v>7</v>
      </c>
      <c r="D58" s="3">
        <v>0.378935009493229</v>
      </c>
      <c r="E58" s="1">
        <v>0.25910575328561603</v>
      </c>
      <c r="F58" s="1">
        <v>0.80339999782313298</v>
      </c>
      <c r="G58" s="1">
        <v>0.80783333333333296</v>
      </c>
    </row>
    <row r="59" spans="1:7" x14ac:dyDescent="0.35">
      <c r="A59">
        <v>7</v>
      </c>
      <c r="B59" t="s">
        <v>0</v>
      </c>
      <c r="C59" t="s">
        <v>7</v>
      </c>
      <c r="D59" s="3">
        <v>0.40928218786479498</v>
      </c>
      <c r="E59" s="1">
        <v>0.25389077074112698</v>
      </c>
      <c r="F59" s="1">
        <v>0.81676033507740398</v>
      </c>
      <c r="G59" s="1">
        <v>0.81988095238095204</v>
      </c>
    </row>
    <row r="61" spans="1:7" x14ac:dyDescent="0.35">
      <c r="A61" t="s">
        <v>12</v>
      </c>
      <c r="B61" t="s">
        <v>1</v>
      </c>
      <c r="C61" t="s">
        <v>16</v>
      </c>
      <c r="D61" s="3" t="s">
        <v>2</v>
      </c>
      <c r="E61" s="1" t="s">
        <v>3</v>
      </c>
      <c r="F61" s="1" t="s">
        <v>4</v>
      </c>
      <c r="G61" s="1" t="s">
        <v>5</v>
      </c>
    </row>
    <row r="62" spans="1:7" x14ac:dyDescent="0.35">
      <c r="A62">
        <v>0</v>
      </c>
      <c r="B62" t="s">
        <v>6</v>
      </c>
      <c r="C62" t="s">
        <v>14</v>
      </c>
      <c r="D62" s="3">
        <v>0.41206791892670502</v>
      </c>
      <c r="E62" s="1">
        <v>0.26241912330091399</v>
      </c>
      <c r="F62" s="1">
        <v>0.817954911578745</v>
      </c>
      <c r="G62" s="1">
        <v>0.82099999999999995</v>
      </c>
    </row>
    <row r="63" spans="1:7" x14ac:dyDescent="0.35">
      <c r="A63">
        <v>1</v>
      </c>
      <c r="B63" t="s">
        <v>8</v>
      </c>
      <c r="C63" t="s">
        <v>14</v>
      </c>
      <c r="D63" s="3">
        <v>0.392197708987855</v>
      </c>
      <c r="E63" s="1">
        <v>0.26285706308412599</v>
      </c>
      <c r="F63" s="1">
        <v>0.80967220068937296</v>
      </c>
      <c r="G63" s="1">
        <v>0.81316666666666604</v>
      </c>
    </row>
    <row r="64" spans="1:7" x14ac:dyDescent="0.35">
      <c r="A64">
        <v>2</v>
      </c>
      <c r="B64" t="s">
        <v>9</v>
      </c>
      <c r="C64" t="s">
        <v>14</v>
      </c>
      <c r="D64" s="3">
        <v>1.6343914986249499E-3</v>
      </c>
      <c r="E64" s="1">
        <v>0.55181240082280403</v>
      </c>
      <c r="F64" s="1">
        <v>0.37543176877809797</v>
      </c>
      <c r="G64" s="1">
        <v>0.52033333333333298</v>
      </c>
    </row>
    <row r="65" spans="1:7" x14ac:dyDescent="0.35">
      <c r="A65">
        <v>3</v>
      </c>
      <c r="B65" t="s">
        <v>10</v>
      </c>
      <c r="C65" t="s">
        <v>14</v>
      </c>
      <c r="D65" s="3">
        <v>0.41248869495060803</v>
      </c>
      <c r="E65" s="1">
        <v>0.25527457446302998</v>
      </c>
      <c r="F65" s="1">
        <v>0.81903631694886703</v>
      </c>
      <c r="G65" s="1">
        <v>0.82116666666666605</v>
      </c>
    </row>
    <row r="66" spans="1:7" x14ac:dyDescent="0.35">
      <c r="A66">
        <v>4</v>
      </c>
      <c r="B66" t="s">
        <v>11</v>
      </c>
      <c r="C66" t="s">
        <v>14</v>
      </c>
      <c r="D66" s="3">
        <v>0.41592938059068502</v>
      </c>
      <c r="E66" s="1">
        <v>0.26090432031163402</v>
      </c>
      <c r="F66" s="1">
        <v>0.81931181213540805</v>
      </c>
      <c r="G66" s="1">
        <v>0.82250000000000001</v>
      </c>
    </row>
    <row r="67" spans="1:7" x14ac:dyDescent="0.35">
      <c r="A67">
        <v>5</v>
      </c>
      <c r="B67" t="s">
        <v>12</v>
      </c>
      <c r="C67" t="s">
        <v>14</v>
      </c>
      <c r="D67" s="3">
        <v>0.40186283515923699</v>
      </c>
      <c r="E67" s="1">
        <v>0.25697813397483599</v>
      </c>
      <c r="F67" s="1">
        <v>0.81335924017379402</v>
      </c>
      <c r="G67" s="1">
        <v>0.81699999999999995</v>
      </c>
    </row>
    <row r="68" spans="1:7" x14ac:dyDescent="0.35">
      <c r="A68">
        <v>6</v>
      </c>
      <c r="B68" t="s">
        <v>13</v>
      </c>
      <c r="C68" t="s">
        <v>14</v>
      </c>
      <c r="D68" s="3">
        <v>0.42761705064887401</v>
      </c>
      <c r="E68" s="1">
        <v>0.26292877689343203</v>
      </c>
      <c r="F68" s="1">
        <v>0.82488106083611701</v>
      </c>
      <c r="G68" s="1">
        <v>0.82699999999999996</v>
      </c>
    </row>
    <row r="69" spans="1:7" x14ac:dyDescent="0.35">
      <c r="A69">
        <v>7</v>
      </c>
      <c r="B69" t="s">
        <v>0</v>
      </c>
      <c r="C69" t="s">
        <v>14</v>
      </c>
      <c r="D69" s="3">
        <v>0.41007462896207902</v>
      </c>
      <c r="E69" s="1">
        <v>0.26077666442074798</v>
      </c>
      <c r="F69" s="1">
        <v>0.81722703596787305</v>
      </c>
      <c r="G69" s="1">
        <v>0.82019047619047603</v>
      </c>
    </row>
    <row r="71" spans="1:7" x14ac:dyDescent="0.35">
      <c r="A71" t="s">
        <v>13</v>
      </c>
      <c r="B71" t="s">
        <v>1</v>
      </c>
      <c r="C71" t="s">
        <v>16</v>
      </c>
      <c r="D71" s="3" t="s">
        <v>2</v>
      </c>
      <c r="E71" s="1" t="s">
        <v>3</v>
      </c>
      <c r="F71" s="1" t="s">
        <v>4</v>
      </c>
      <c r="G71" s="1" t="s">
        <v>5</v>
      </c>
    </row>
    <row r="72" spans="1:7" x14ac:dyDescent="0.35">
      <c r="A72">
        <v>0</v>
      </c>
      <c r="B72" t="s">
        <v>6</v>
      </c>
      <c r="C72" t="s">
        <v>14</v>
      </c>
      <c r="D72" s="3">
        <v>0.39554136968126302</v>
      </c>
      <c r="E72" s="1">
        <v>0.19909749342128699</v>
      </c>
      <c r="F72" s="1">
        <v>0.812670156888883</v>
      </c>
      <c r="G72" s="1">
        <v>0.8145</v>
      </c>
    </row>
    <row r="73" spans="1:7" x14ac:dyDescent="0.35">
      <c r="A73">
        <v>1</v>
      </c>
      <c r="B73" t="s">
        <v>8</v>
      </c>
      <c r="C73" t="s">
        <v>14</v>
      </c>
      <c r="D73" s="3">
        <v>0.39932839663099501</v>
      </c>
      <c r="E73" s="1">
        <v>0.19918805705294601</v>
      </c>
      <c r="F73" s="1">
        <v>0.81317350191040205</v>
      </c>
      <c r="G73" s="1">
        <v>0.81599999999999995</v>
      </c>
    </row>
    <row r="74" spans="1:7" x14ac:dyDescent="0.35">
      <c r="A74">
        <v>2</v>
      </c>
      <c r="B74" t="s">
        <v>9</v>
      </c>
      <c r="C74" t="s">
        <v>14</v>
      </c>
      <c r="D74" s="3">
        <v>1.0717545799850501E-3</v>
      </c>
      <c r="E74" s="1">
        <v>0.56691103081174499</v>
      </c>
      <c r="F74" s="1">
        <v>0.36765421620710997</v>
      </c>
      <c r="G74" s="1">
        <v>0.51649999999999996</v>
      </c>
    </row>
    <row r="75" spans="1:7" x14ac:dyDescent="0.35">
      <c r="A75">
        <v>3</v>
      </c>
      <c r="B75" t="s">
        <v>10</v>
      </c>
      <c r="C75" t="s">
        <v>14</v>
      </c>
      <c r="D75" s="3">
        <v>0.37320980703434298</v>
      </c>
      <c r="E75" s="1">
        <v>0.18756233520540999</v>
      </c>
      <c r="F75" s="1">
        <v>0.80280832820241599</v>
      </c>
      <c r="G75" s="1">
        <v>0.80549999999999999</v>
      </c>
    </row>
    <row r="76" spans="1:7" x14ac:dyDescent="0.35">
      <c r="A76">
        <v>4</v>
      </c>
      <c r="B76" t="s">
        <v>11</v>
      </c>
      <c r="C76" t="s">
        <v>14</v>
      </c>
      <c r="D76" s="3">
        <v>0.413781254725265</v>
      </c>
      <c r="E76" s="1">
        <v>0.198863119669653</v>
      </c>
      <c r="F76" s="1">
        <v>0.819455518339269</v>
      </c>
      <c r="G76" s="1">
        <v>0.82166666666666599</v>
      </c>
    </row>
    <row r="77" spans="1:7" x14ac:dyDescent="0.35">
      <c r="A77">
        <v>5</v>
      </c>
      <c r="B77" t="s">
        <v>12</v>
      </c>
      <c r="C77" t="s">
        <v>14</v>
      </c>
      <c r="D77" s="3">
        <v>0.363906320485608</v>
      </c>
      <c r="E77" s="1">
        <v>0.189973904799565</v>
      </c>
      <c r="F77" s="1">
        <v>0.80094207369737702</v>
      </c>
      <c r="G77" s="1">
        <v>0.80166666666666597</v>
      </c>
    </row>
    <row r="78" spans="1:7" x14ac:dyDescent="0.35">
      <c r="A78">
        <v>6</v>
      </c>
      <c r="B78" t="s">
        <v>13</v>
      </c>
      <c r="C78" t="s">
        <v>14</v>
      </c>
      <c r="D78" s="3">
        <v>0.42718161749178502</v>
      </c>
      <c r="E78" s="1">
        <v>0.19991813477017401</v>
      </c>
      <c r="F78" s="1">
        <v>0.82505460027964805</v>
      </c>
      <c r="G78" s="1">
        <v>0.82683333333333298</v>
      </c>
    </row>
    <row r="79" spans="1:7" x14ac:dyDescent="0.35">
      <c r="A79">
        <v>7</v>
      </c>
      <c r="B79" t="s">
        <v>0</v>
      </c>
      <c r="C79" t="s">
        <v>14</v>
      </c>
      <c r="D79" s="3">
        <v>0.407699313220035</v>
      </c>
      <c r="E79" s="1">
        <v>0.199118037596686</v>
      </c>
      <c r="F79" s="1">
        <v>0.81679158975535504</v>
      </c>
      <c r="G79" s="1">
        <v>0.81926190476190397</v>
      </c>
    </row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Mengyao (IntlAssoc)</dc:creator>
  <cp:lastModifiedBy>Dong, Mengyao (IntlAssoc)</cp:lastModifiedBy>
  <dcterms:created xsi:type="dcterms:W3CDTF">2025-07-22T19:26:36Z</dcterms:created>
  <dcterms:modified xsi:type="dcterms:W3CDTF">2025-07-22T19:45:30Z</dcterms:modified>
</cp:coreProperties>
</file>